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3"/>
    <sheet name="raw_li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<sst xmlns="http://schemas.openxmlformats.org/spreadsheetml/2006/main" count="115" uniqueCount="62">
  <si>
    <t xml:space="preserve">Massage base parameters</t>
  </si>
  <si>
    <t xml:space="preserve">values</t>
  </si>
  <si>
    <t xml:space="preserve">Unit</t>
  </si>
  <si>
    <t xml:space="preserve">length, range</t>
  </si>
  <si>
    <t xml:space="preserve">Description</t>
  </si>
  <si>
    <t xml:space="preserve">mssg1_step_time</t>
  </si>
  <si>
    <t xml:space="preserve">ms</t>
  </si>
  <si>
    <t xml:space="preserve">2 byte</t>
  </si>
  <si>
    <t xml:space="preserve">Wave massage step time for 3rd speed and 3rd intensity</t>
  </si>
  <si>
    <t xml:space="preserve">mssg1_pump_speed</t>
  </si>
  <si>
    <t xml:space="preserve">%</t>
  </si>
  <si>
    <t xml:space="preserve">1 byte</t>
  </si>
  <si>
    <t xml:space="preserve">Wave massage pump speed for 3rd speed and 3rd intensity</t>
  </si>
  <si>
    <t xml:space="preserve">mssg2_step_time</t>
  </si>
  <si>
    <t xml:space="preserve">Catwalk massage step time for 3rd speed and 3rd intensity</t>
  </si>
  <si>
    <t xml:space="preserve">mssg2_pump_speed</t>
  </si>
  <si>
    <t xml:space="preserve">Catwalk massage pump speed for 3rd speed and 3rd intensity</t>
  </si>
  <si>
    <t xml:space="preserve">mssg3_step_time</t>
  </si>
  <si>
    <t xml:space="preserve">Lumbar Catwalk massage step time for 3rd speed and 3rd intensity</t>
  </si>
  <si>
    <t xml:space="preserve">mssg3_pump_speed</t>
  </si>
  <si>
    <t xml:space="preserve">Lumbar Catwalk massage pump speed for 3rd speed and 3rd intensity</t>
  </si>
  <si>
    <t xml:space="preserve">mssg4_step_time</t>
  </si>
  <si>
    <t xml:space="preserve">Stretch massage step time for 3rd speed and 3rd intensity</t>
  </si>
  <si>
    <t xml:space="preserve">mssg4_pump_speed</t>
  </si>
  <si>
    <t xml:space="preserve">Stretch massage pump speed for 3rd speed and 3rd intensity</t>
  </si>
  <si>
    <t xml:space="preserve">Intensity parameters</t>
  </si>
  <si>
    <t xml:space="preserve">length</t>
  </si>
  <si>
    <t xml:space="preserve">intensity_2_time_coeff</t>
  </si>
  <si>
    <t xml:space="preserve">2nd intensity time coefficient</t>
  </si>
  <si>
    <t xml:space="preserve">intensity_2_pump_coeff</t>
  </si>
  <si>
    <t xml:space="preserve">2nd intensity pump coefficient</t>
  </si>
  <si>
    <t xml:space="preserve">intensity_1_time_coeff</t>
  </si>
  <si>
    <t xml:space="preserve">1st intensity time coefficient</t>
  </si>
  <si>
    <t xml:space="preserve">intensity_1_pump_coeff</t>
  </si>
  <si>
    <t xml:space="preserve">1st intensity pump coefficient</t>
  </si>
  <si>
    <t xml:space="preserve">Speed parameters</t>
  </si>
  <si>
    <t xml:space="preserve">speed_2_time_coeff</t>
  </si>
  <si>
    <t xml:space="preserve">2nd speed time coefficient</t>
  </si>
  <si>
    <t xml:space="preserve">speed_2_pump_coeff</t>
  </si>
  <si>
    <t xml:space="preserve">2nd speed pump coefficient</t>
  </si>
  <si>
    <t xml:space="preserve">speed_1_time_coeff</t>
  </si>
  <si>
    <t xml:space="preserve">1st speed time coefficient</t>
  </si>
  <si>
    <t xml:space="preserve">speed_1_pump_coeff</t>
  </si>
  <si>
    <t xml:space="preserve">1st speed pump coefficient</t>
  </si>
  <si>
    <t xml:space="preserve">Lumbar parameters</t>
  </si>
  <si>
    <t xml:space="preserve">max_press</t>
  </si>
  <si>
    <t xml:space="preserve">hPa</t>
  </si>
  <si>
    <t xml:space="preserve">1 byte (100-355)</t>
  </si>
  <si>
    <t xml:space="preserve">max lumbar pressure</t>
  </si>
  <si>
    <t xml:space="preserve">pump_speed</t>
  </si>
  <si>
    <t xml:space="preserve">lumbar PWM</t>
  </si>
  <si>
    <t xml:space="preserve">Valve parameters</t>
  </si>
  <si>
    <t xml:space="preserve">ramp_up_time</t>
  </si>
  <si>
    <t xml:space="preserve">ramp_down_time</t>
  </si>
  <si>
    <t xml:space="preserve">pull_volt</t>
  </si>
  <si>
    <t xml:space="preserve">PWM duty</t>
  </si>
  <si>
    <t xml:space="preserve">hold_volt</t>
  </si>
  <si>
    <t xml:space="preserve">Massage step time equation</t>
  </si>
  <si>
    <t xml:space="preserve">step time = base step time * intensity time coef * speed time coef</t>
  </si>
  <si>
    <t xml:space="preserve">for intensity 3 and speed 3 coefficients are = 1</t>
  </si>
  <si>
    <t xml:space="preserve">Massage pump speed equation</t>
  </si>
  <si>
    <t xml:space="preserve">step time = base step time * intensity pump coef * speed pump coef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</si>
</sst>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  <font>
      <i val="true"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45" activeCellId="0" sqref="E4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13"/>
    <col collapsed="false" customWidth="true" hidden="false" outlineLevel="0" max="2" min="2" style="1" width="31.53"/>
    <col collapsed="false" customWidth="true" hidden="false" outlineLevel="0" max="3" min="3" style="0" width="12.17"/>
    <col collapsed="false" customWidth="true" hidden="false" outlineLevel="0" max="4" min="4" style="2" width="9.15"/>
    <col collapsed="false" customWidth="true" hidden="false" outlineLevel="0" max="5" min="5" style="0" width="14.93"/>
    <col collapsed="false" customWidth="true" hidden="false" outlineLevel="0" max="6" min="6" style="0" width="58.43"/>
  </cols>
  <sheetData>
    <row r="1" customFormat="false" ht="12.8" hidden="false" customHeight="false" outlineLevel="0" collapsed="false">
      <c r="B1" s="0"/>
    </row>
    <row r="2" s="3" customFormat="true" ht="12.8" hidden="false" customHeight="false" outlineLevel="0" collapsed="false">
      <c r="B2" s="4" t="s">
        <v>0</v>
      </c>
      <c r="C2" s="5" t="s">
        <v>1</v>
      </c>
      <c r="D2" s="6" t="s">
        <v>2</v>
      </c>
      <c r="E2" s="5" t="s">
        <v>3</v>
      </c>
      <c r="F2" s="7" t="s">
        <v>4</v>
      </c>
    </row>
    <row r="3" customFormat="false" ht="12.8" hidden="false" customHeight="false" outlineLevel="0" collapsed="false">
      <c r="B3" s="8" t="s">
        <v>5</v>
      </c>
      <c r="C3" s="1" t="n">
        <v>7000</v>
      </c>
      <c r="D3" s="9" t="s">
        <v>6</v>
      </c>
      <c r="E3" s="0" t="s">
        <v>7</v>
      </c>
      <c r="F3" s="10" t="s">
        <v>8</v>
      </c>
    </row>
    <row r="4" customFormat="false" ht="12.8" hidden="false" customHeight="false" outlineLevel="0" collapsed="false">
      <c r="B4" s="8" t="s">
        <v>9</v>
      </c>
      <c r="C4" s="1" t="n">
        <v>80</v>
      </c>
      <c r="D4" s="9" t="s">
        <v>10</v>
      </c>
      <c r="E4" s="0" t="s">
        <v>11</v>
      </c>
      <c r="F4" s="10" t="s">
        <v>12</v>
      </c>
    </row>
    <row r="5" customFormat="false" ht="12.8" hidden="false" customHeight="false" outlineLevel="0" collapsed="false">
      <c r="B5" s="8" t="s">
        <v>13</v>
      </c>
      <c r="C5" s="1" t="n">
        <v>3500</v>
      </c>
      <c r="D5" s="9" t="s">
        <v>6</v>
      </c>
      <c r="E5" s="0" t="s">
        <v>7</v>
      </c>
      <c r="F5" s="10" t="s">
        <v>14</v>
      </c>
    </row>
    <row r="6" customFormat="false" ht="12.8" hidden="false" customHeight="false" outlineLevel="0" collapsed="false">
      <c r="B6" s="8" t="s">
        <v>15</v>
      </c>
      <c r="C6" s="1" t="n">
        <v>80</v>
      </c>
      <c r="D6" s="9" t="s">
        <v>10</v>
      </c>
      <c r="E6" s="0" t="s">
        <v>11</v>
      </c>
      <c r="F6" s="10" t="s">
        <v>16</v>
      </c>
    </row>
    <row r="7" customFormat="false" ht="12.8" hidden="false" customHeight="false" outlineLevel="0" collapsed="false">
      <c r="B7" s="8" t="s">
        <v>17</v>
      </c>
      <c r="C7" s="1" t="n">
        <v>3500</v>
      </c>
      <c r="D7" s="9" t="s">
        <v>6</v>
      </c>
      <c r="E7" s="0" t="s">
        <v>7</v>
      </c>
      <c r="F7" s="10" t="s">
        <v>18</v>
      </c>
    </row>
    <row r="8" customFormat="false" ht="12.8" hidden="false" customHeight="false" outlineLevel="0" collapsed="false">
      <c r="B8" s="8" t="s">
        <v>19</v>
      </c>
      <c r="C8" s="1" t="n">
        <v>80</v>
      </c>
      <c r="D8" s="9" t="s">
        <v>10</v>
      </c>
      <c r="E8" s="0" t="s">
        <v>11</v>
      </c>
      <c r="F8" s="10" t="s">
        <v>20</v>
      </c>
    </row>
    <row r="9" customFormat="false" ht="12.8" hidden="false" customHeight="false" outlineLevel="0" collapsed="false">
      <c r="B9" s="8" t="s">
        <v>21</v>
      </c>
      <c r="C9" s="1" t="n">
        <v>7000</v>
      </c>
      <c r="D9" s="9" t="s">
        <v>6</v>
      </c>
      <c r="E9" s="0" t="s">
        <v>7</v>
      </c>
      <c r="F9" s="10" t="s">
        <v>22</v>
      </c>
    </row>
    <row r="10" customFormat="false" ht="12.8" hidden="false" customHeight="false" outlineLevel="0" collapsed="false">
      <c r="B10" s="11" t="s">
        <v>23</v>
      </c>
      <c r="C10" s="12" t="n">
        <v>80</v>
      </c>
      <c r="D10" s="13" t="s">
        <v>10</v>
      </c>
      <c r="E10" s="14" t="s">
        <v>11</v>
      </c>
      <c r="F10" s="15" t="s">
        <v>24</v>
      </c>
    </row>
    <row r="11" customFormat="false" ht="12.8" hidden="false" customHeight="false" outlineLevel="0" collapsed="false">
      <c r="C11" s="1"/>
      <c r="D11" s="9"/>
    </row>
    <row r="12" customFormat="false" ht="12.8" hidden="false" customHeight="false" outlineLevel="0" collapsed="false">
      <c r="B12" s="4" t="s">
        <v>25</v>
      </c>
      <c r="C12" s="5" t="s">
        <v>1</v>
      </c>
      <c r="D12" s="6"/>
      <c r="E12" s="5" t="s">
        <v>26</v>
      </c>
      <c r="F12" s="7" t="s">
        <v>4</v>
      </c>
    </row>
    <row r="13" customFormat="false" ht="12.8" hidden="false" customHeight="false" outlineLevel="0" collapsed="false">
      <c r="B13" s="8" t="s">
        <v>27</v>
      </c>
      <c r="C13" s="1" t="n">
        <v>100</v>
      </c>
      <c r="D13" s="9" t="s">
        <v>10</v>
      </c>
      <c r="E13" s="0" t="s">
        <v>11</v>
      </c>
      <c r="F13" s="10" t="s">
        <v>28</v>
      </c>
    </row>
    <row r="14" customFormat="false" ht="12.8" hidden="false" customHeight="true" outlineLevel="0" collapsed="false">
      <c r="B14" s="8" t="s">
        <v>29</v>
      </c>
      <c r="C14" s="0" t="n">
        <v>90</v>
      </c>
      <c r="D14" s="2" t="s">
        <v>10</v>
      </c>
      <c r="E14" s="0" t="s">
        <v>11</v>
      </c>
      <c r="F14" s="10" t="s">
        <v>30</v>
      </c>
    </row>
    <row r="15" customFormat="false" ht="12.8" hidden="false" customHeight="true" outlineLevel="0" collapsed="false">
      <c r="B15" s="8" t="s">
        <v>31</v>
      </c>
      <c r="C15" s="0" t="n">
        <v>100</v>
      </c>
      <c r="D15" s="2" t="s">
        <v>10</v>
      </c>
      <c r="E15" s="0" t="s">
        <v>11</v>
      </c>
      <c r="F15" s="10" t="s">
        <v>32</v>
      </c>
    </row>
    <row r="16" customFormat="false" ht="12.8" hidden="false" customHeight="true" outlineLevel="0" collapsed="false">
      <c r="B16" s="11" t="s">
        <v>33</v>
      </c>
      <c r="C16" s="14" t="n">
        <v>80</v>
      </c>
      <c r="D16" s="16" t="s">
        <v>10</v>
      </c>
      <c r="E16" s="14" t="s">
        <v>11</v>
      </c>
      <c r="F16" s="15" t="s">
        <v>34</v>
      </c>
    </row>
    <row r="18" customFormat="false" ht="12.8" hidden="false" customHeight="false" outlineLevel="0" collapsed="false">
      <c r="B18" s="4" t="s">
        <v>35</v>
      </c>
      <c r="C18" s="5" t="s">
        <v>1</v>
      </c>
      <c r="D18" s="6"/>
      <c r="E18" s="5" t="s">
        <v>26</v>
      </c>
      <c r="F18" s="7" t="s">
        <v>4</v>
      </c>
    </row>
    <row r="19" customFormat="false" ht="12.8" hidden="false" customHeight="true" outlineLevel="0" collapsed="false">
      <c r="B19" s="8" t="s">
        <v>36</v>
      </c>
      <c r="C19" s="0" t="n">
        <v>90</v>
      </c>
      <c r="D19" s="2" t="s">
        <v>10</v>
      </c>
      <c r="E19" s="0" t="s">
        <v>11</v>
      </c>
      <c r="F19" s="10" t="s">
        <v>37</v>
      </c>
    </row>
    <row r="20" customFormat="false" ht="12.8" hidden="false" customHeight="true" outlineLevel="0" collapsed="false">
      <c r="B20" s="8" t="s">
        <v>38</v>
      </c>
      <c r="C20" s="0" t="n">
        <v>110</v>
      </c>
      <c r="D20" s="2" t="s">
        <v>10</v>
      </c>
      <c r="E20" s="0" t="s">
        <v>11</v>
      </c>
      <c r="F20" s="10" t="s">
        <v>39</v>
      </c>
    </row>
    <row r="21" customFormat="false" ht="12.8" hidden="false" customHeight="true" outlineLevel="0" collapsed="false">
      <c r="B21" s="8" t="s">
        <v>40</v>
      </c>
      <c r="C21" s="0" t="n">
        <v>75</v>
      </c>
      <c r="D21" s="2" t="s">
        <v>10</v>
      </c>
      <c r="E21" s="0" t="s">
        <v>11</v>
      </c>
      <c r="F21" s="10" t="s">
        <v>41</v>
      </c>
    </row>
    <row r="22" customFormat="false" ht="12.8" hidden="false" customHeight="true" outlineLevel="0" collapsed="false">
      <c r="B22" s="11" t="s">
        <v>42</v>
      </c>
      <c r="C22" s="14" t="n">
        <v>120</v>
      </c>
      <c r="D22" s="16" t="s">
        <v>10</v>
      </c>
      <c r="E22" s="14" t="s">
        <v>11</v>
      </c>
      <c r="F22" s="15" t="s">
        <v>43</v>
      </c>
    </row>
    <row r="24" customFormat="false" ht="12.8" hidden="false" customHeight="true" outlineLevel="0" collapsed="false">
      <c r="B24" s="4" t="s">
        <v>44</v>
      </c>
      <c r="C24" s="5" t="s">
        <v>1</v>
      </c>
      <c r="D24" s="6"/>
      <c r="E24" s="5" t="s">
        <v>26</v>
      </c>
      <c r="F24" s="7" t="s">
        <v>4</v>
      </c>
    </row>
    <row r="25" customFormat="false" ht="12.8" hidden="false" customHeight="true" outlineLevel="0" collapsed="false">
      <c r="B25" s="8" t="s">
        <v>45</v>
      </c>
      <c r="C25" s="0" t="n">
        <v>300</v>
      </c>
      <c r="D25" s="2" t="s">
        <v>46</v>
      </c>
      <c r="E25" s="0" t="s">
        <v>47</v>
      </c>
      <c r="F25" s="10" t="s">
        <v>48</v>
      </c>
    </row>
    <row r="26" customFormat="false" ht="12.8" hidden="false" customHeight="true" outlineLevel="0" collapsed="false">
      <c r="B26" s="11" t="s">
        <v>49</v>
      </c>
      <c r="C26" s="14" t="n">
        <v>100</v>
      </c>
      <c r="D26" s="16" t="s">
        <v>10</v>
      </c>
      <c r="E26" s="14" t="s">
        <v>11</v>
      </c>
      <c r="F26" s="15" t="s">
        <v>50</v>
      </c>
    </row>
    <row r="28" customFormat="false" ht="12.8" hidden="false" customHeight="true" outlineLevel="0" collapsed="false">
      <c r="B28" s="4" t="s">
        <v>51</v>
      </c>
      <c r="C28" s="5" t="s">
        <v>1</v>
      </c>
      <c r="D28" s="6"/>
      <c r="E28" s="5" t="s">
        <v>26</v>
      </c>
      <c r="F28" s="7" t="s">
        <v>4</v>
      </c>
    </row>
    <row r="29" customFormat="false" ht="12.8" hidden="false" customHeight="true" outlineLevel="0" collapsed="false">
      <c r="B29" s="8" t="s">
        <v>52</v>
      </c>
      <c r="C29" s="0" t="n">
        <v>150</v>
      </c>
      <c r="D29" s="2" t="s">
        <v>6</v>
      </c>
      <c r="E29" s="0" t="s">
        <v>11</v>
      </c>
      <c r="F29" s="10"/>
    </row>
    <row r="30" customFormat="false" ht="12.8" hidden="false" customHeight="true" outlineLevel="0" collapsed="false">
      <c r="B30" s="8" t="s">
        <v>53</v>
      </c>
      <c r="C30" s="0" t="n">
        <v>100</v>
      </c>
      <c r="D30" s="2" t="s">
        <v>6</v>
      </c>
      <c r="E30" s="0" t="s">
        <v>11</v>
      </c>
      <c r="F30" s="10"/>
    </row>
    <row r="31" customFormat="false" ht="12.8" hidden="false" customHeight="true" outlineLevel="0" collapsed="false">
      <c r="B31" s="8" t="s">
        <v>54</v>
      </c>
      <c r="C31" s="0" t="n">
        <v>100</v>
      </c>
      <c r="D31" s="2" t="s">
        <v>10</v>
      </c>
      <c r="E31" s="0" t="s">
        <v>11</v>
      </c>
      <c r="F31" s="10" t="s">
        <v>55</v>
      </c>
    </row>
    <row r="32" customFormat="false" ht="12.8" hidden="false" customHeight="true" outlineLevel="0" collapsed="false">
      <c r="B32" s="11" t="s">
        <v>56</v>
      </c>
      <c r="C32" s="14" t="n">
        <v>60</v>
      </c>
      <c r="D32" s="16" t="s">
        <v>10</v>
      </c>
      <c r="E32" s="14" t="s">
        <v>11</v>
      </c>
      <c r="F32" s="15" t="s">
        <v>55</v>
      </c>
    </row>
    <row r="36" customFormat="false" ht="12.8" hidden="false" customHeight="true" outlineLevel="0" collapsed="false">
      <c r="B36" s="17" t="s">
        <v>57</v>
      </c>
      <c r="C36" s="17"/>
      <c r="D36" s="17"/>
      <c r="E36" s="17"/>
      <c r="F36" s="18" t="s">
        <v>4</v>
      </c>
    </row>
    <row r="37" customFormat="false" ht="12.8" hidden="false" customHeight="true" outlineLevel="0" collapsed="false">
      <c r="B37" s="19" t="s">
        <v>58</v>
      </c>
      <c r="C37" s="19"/>
      <c r="D37" s="19"/>
      <c r="E37" s="19"/>
      <c r="F37" s="15" t="s">
        <v>59</v>
      </c>
    </row>
    <row r="39" customFormat="false" ht="12.8" hidden="false" customHeight="true" outlineLevel="0" collapsed="false">
      <c r="B39" s="17" t="s">
        <v>60</v>
      </c>
      <c r="C39" s="17"/>
      <c r="D39" s="17"/>
      <c r="E39" s="17"/>
      <c r="F39" s="18" t="s">
        <v>4</v>
      </c>
    </row>
    <row r="40" customFormat="false" ht="12.8" hidden="false" customHeight="true" outlineLevel="0" collapsed="false">
      <c r="B40" s="19" t="s">
        <v>61</v>
      </c>
      <c r="C40" s="19"/>
      <c r="D40" s="19"/>
      <c r="E40" s="19"/>
      <c r="F40" s="15" t="s">
        <v>59</v>
      </c>
    </row>
  </sheetData>
  <mergeCells count="4">
    <mergeCell ref="B36:E36"/>
    <mergeCell ref="B37:E37"/>
    <mergeCell ref="B39:E39"/>
    <mergeCell ref="B40:E4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32" activeCellId="0" sqref="E3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f aca="false">Parameters!C3</f>
        <v>7000</v>
      </c>
    </row>
    <row r="2" customFormat="false" ht="12.8" hidden="false" customHeight="false" outlineLevel="0" collapsed="false">
      <c r="A2" s="0" t="n">
        <f aca="false">Parameters!C4</f>
        <v>80</v>
      </c>
    </row>
    <row r="3" customFormat="false" ht="12.8" hidden="false" customHeight="false" outlineLevel="0" collapsed="false">
      <c r="A3" s="0" t="n">
        <f aca="false">Parameters!C5</f>
        <v>3500</v>
      </c>
    </row>
    <row r="4" customFormat="false" ht="12.8" hidden="false" customHeight="false" outlineLevel="0" collapsed="false">
      <c r="A4" s="0" t="n">
        <f aca="false">Parameters!C6</f>
        <v>80</v>
      </c>
    </row>
    <row r="5" customFormat="false" ht="12.8" hidden="false" customHeight="false" outlineLevel="0" collapsed="false">
      <c r="A5" s="0" t="n">
        <f aca="false">Parameters!C7</f>
        <v>3500</v>
      </c>
    </row>
    <row r="6" customFormat="false" ht="12.8" hidden="false" customHeight="false" outlineLevel="0" collapsed="false">
      <c r="A6" s="0" t="n">
        <f aca="false">Parameters!C8</f>
        <v>80</v>
      </c>
    </row>
    <row r="7" customFormat="false" ht="12.8" hidden="false" customHeight="false" outlineLevel="0" collapsed="false">
      <c r="A7" s="0" t="n">
        <f aca="false">Parameters!C9</f>
        <v>7000</v>
      </c>
    </row>
    <row r="8" customFormat="false" ht="12.8" hidden="false" customHeight="false" outlineLevel="0" collapsed="false">
      <c r="A8" s="0" t="n">
        <f aca="false">Parameters!C10</f>
        <v>80</v>
      </c>
    </row>
    <row r="9" customFormat="false" ht="12.8" hidden="false" customHeight="false" outlineLevel="0" collapsed="false">
      <c r="A9" s="0" t="n">
        <f aca="false">Parameters!C13</f>
        <v>100</v>
      </c>
    </row>
    <row r="10" customFormat="false" ht="12.8" hidden="false" customHeight="false" outlineLevel="0" collapsed="false">
      <c r="A10" s="0" t="n">
        <f aca="false">Parameters!C14</f>
        <v>90</v>
      </c>
    </row>
    <row r="11" customFormat="false" ht="12.8" hidden="false" customHeight="false" outlineLevel="0" collapsed="false">
      <c r="A11" s="0" t="n">
        <f aca="false">Parameters!C15</f>
        <v>100</v>
      </c>
    </row>
    <row r="12" customFormat="false" ht="12.8" hidden="false" customHeight="false" outlineLevel="0" collapsed="false">
      <c r="A12" s="0" t="n">
        <f aca="false">Parameters!C16</f>
        <v>80</v>
      </c>
    </row>
    <row r="13" customFormat="false" ht="12.8" hidden="false" customHeight="false" outlineLevel="0" collapsed="false">
      <c r="A13" s="0" t="n">
        <f aca="false">Parameters!C19</f>
        <v>90</v>
      </c>
    </row>
    <row r="14" customFormat="false" ht="12.8" hidden="false" customHeight="false" outlineLevel="0" collapsed="false">
      <c r="A14" s="0" t="n">
        <f aca="false">Parameters!C20</f>
        <v>110</v>
      </c>
    </row>
    <row r="15" customFormat="false" ht="12.8" hidden="false" customHeight="false" outlineLevel="0" collapsed="false">
      <c r="A15" s="0" t="n">
        <f aca="false">Parameters!C21</f>
        <v>75</v>
      </c>
    </row>
    <row r="16" customFormat="false" ht="12.8" hidden="false" customHeight="false" outlineLevel="0" collapsed="false">
      <c r="A16" s="0" t="n">
        <f aca="false">Parameters!C22</f>
        <v>120</v>
      </c>
    </row>
    <row r="17" customFormat="false" ht="12.8" hidden="false" customHeight="false" outlineLevel="0" collapsed="false">
      <c r="A17" s="0" t="n">
        <f aca="false">Parameters!C25</f>
        <v>300</v>
      </c>
    </row>
    <row r="18" customFormat="false" ht="12.8" hidden="false" customHeight="false" outlineLevel="0" collapsed="false">
      <c r="A18" s="0" t="n">
        <f aca="false">Parameters!C26</f>
        <v>100</v>
      </c>
    </row>
    <row r="19" customFormat="false" ht="12.8" hidden="false" customHeight="false" outlineLevel="0" collapsed="false">
      <c r="A19" s="0" t="n">
        <f aca="false">Parameters!C27</f>
        <v>0</v>
      </c>
    </row>
    <row r="20" customFormat="false" ht="12.8" hidden="false" customHeight="false" outlineLevel="0" collapsed="false">
      <c r="A20" s="0" t="n">
        <f aca="false">Parameters!C29</f>
        <v>150</v>
      </c>
    </row>
    <row r="21" customFormat="false" ht="12.8" hidden="false" customHeight="false" outlineLevel="0" collapsed="false">
      <c r="A21" s="0" t="n">
        <f aca="false">Parameters!C30</f>
        <v>100</v>
      </c>
    </row>
    <row r="22" customFormat="false" ht="12.8" hidden="false" customHeight="false" outlineLevel="0" collapsed="false">
      <c r="A22" s="0" t="n">
        <f aca="false">Parameters!C31</f>
        <v>100</v>
      </c>
    </row>
    <row r="23" customFormat="false" ht="12.8" hidden="false" customHeight="false" outlineLevel="0" collapsed="false">
      <c r="A23" s="0" t="n">
        <f aca="false">Parameters!C32</f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LibreOffice/25.8.2.1$Windows_X86_64 LibreOffice_project/345526217a4027cb1b9ab39bd7153c8c141a1d64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2025-11-15T10:11:52Z</dcterms:created>
  <dc:creator/>
  <dc:description/>
  <dc:language>pl-PL</dc:language>
  <cp:lastModifiedBy/>
  <dcterms:modified xsi:type="dcterms:W3CDTF">2025-11-15T11:34:51Z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